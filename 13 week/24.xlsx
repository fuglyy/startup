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niver\startap\13 week\"/>
    </mc:Choice>
  </mc:AlternateContent>
  <bookViews>
    <workbookView xWindow="0" yWindow="0" windowWidth="23040" windowHeight="9192" tabRatio="500"/>
  </bookViews>
  <sheets>
    <sheet name="Финансовый план" sheetId="1" r:id="rId1"/>
    <sheet name="3 Сценария" sheetId="2" r:id="rId2"/>
    <sheet name="Оценка компании" sheetId="3" r:id="rId3"/>
    <sheet name="Чувствительность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3" l="1"/>
  <c r="B15" i="3" s="1"/>
  <c r="B17" i="3" s="1"/>
  <c r="B7" i="3"/>
  <c r="B16" i="3" s="1"/>
  <c r="B6" i="3"/>
  <c r="D18" i="1"/>
  <c r="C18" i="1"/>
  <c r="B18" i="1"/>
  <c r="C9" i="1"/>
  <c r="C12" i="1" s="1"/>
  <c r="C14" i="1" s="1"/>
  <c r="B9" i="1"/>
  <c r="B12" i="1" s="1"/>
  <c r="B14" i="1" s="1"/>
  <c r="D7" i="1"/>
  <c r="D24" i="1" s="1"/>
  <c r="C7" i="1"/>
  <c r="C24" i="1" s="1"/>
  <c r="B7" i="1"/>
  <c r="B24" i="1" s="1"/>
  <c r="B20" i="1" l="1"/>
  <c r="B21" i="1" s="1"/>
  <c r="B25" i="1"/>
  <c r="B26" i="1" s="1"/>
  <c r="C25" i="1"/>
  <c r="C26" i="1" s="1"/>
  <c r="C20" i="1"/>
  <c r="D9" i="1"/>
  <c r="D12" i="1" s="1"/>
  <c r="D14" i="1" s="1"/>
  <c r="D20" i="1" l="1"/>
  <c r="D25" i="1"/>
  <c r="D26" i="1" s="1"/>
  <c r="C22" i="1"/>
  <c r="C21" i="1"/>
  <c r="D21" i="1" s="1"/>
  <c r="D22" i="1" l="1"/>
</calcChain>
</file>

<file path=xl/sharedStrings.xml><?xml version="1.0" encoding="utf-8"?>
<sst xmlns="http://schemas.openxmlformats.org/spreadsheetml/2006/main" count="101" uniqueCount="95">
  <si>
    <t>PredictRU — Финансовый план на 12 месяцев (Базовый сценарий)</t>
  </si>
  <si>
    <t>🔵 Синий = ввод (можно менять)   ⚫ Чёрный = формула   🟡 Жёлтый = ключевое допущение</t>
  </si>
  <si>
    <t>Показатель</t>
  </si>
  <si>
    <t>М1–М3 (Запуск)</t>
  </si>
  <si>
    <t>М4–М6 (Рост)</t>
  </si>
  <si>
    <t>М7–М12 (Масштабирование)</t>
  </si>
  <si>
    <t>ТРАФИК И КОНВЕРСИЯ</t>
  </si>
  <si>
    <t>Лиды / Трафик</t>
  </si>
  <si>
    <t>Конверсия в регистрацию</t>
  </si>
  <si>
    <t>Зарегистрированных пользователей</t>
  </si>
  <si>
    <t>Конверсия в ставку (платящие)</t>
  </si>
  <si>
    <t>Платящие пользователи</t>
  </si>
  <si>
    <t>ВЫРУЧКА</t>
  </si>
  <si>
    <t>Средний объём ставки (₽)</t>
  </si>
  <si>
    <t>Общий объём ставок (₽)</t>
  </si>
  <si>
    <t>Комиссия платформы</t>
  </si>
  <si>
    <t>Выручка (₽)</t>
  </si>
  <si>
    <t>ЗАТРАТЫ</t>
  </si>
  <si>
    <t>Маркетинг (₽)</t>
  </si>
  <si>
    <t>Хостинг и инфраструктура (₽)</t>
  </si>
  <si>
    <t>Итого затраты (₽)</t>
  </si>
  <si>
    <t>ОПЕРАЦИОННЫЙ РЕЗУЛЬТАТ</t>
  </si>
  <si>
    <t>Операционный результат (₽)</t>
  </si>
  <si>
    <t>Накопленный результат (₽)</t>
  </si>
  <si>
    <t>Остаток капитала (₽)</t>
  </si>
  <si>
    <t>UNIT-ЭКОНОМИКА</t>
  </si>
  <si>
    <t>CAC — стоимость привлечения (₽)</t>
  </si>
  <si>
    <t>ARPU — выручка на пользователя (₽)</t>
  </si>
  <si>
    <t>LTV / CAC (целевое: ≥ 3×)</t>
  </si>
  <si>
    <t>PredictRU — Сравнение сценариев (итог года)</t>
  </si>
  <si>
    <t>Оптимистичный</t>
  </si>
  <si>
    <t>Базовый</t>
  </si>
  <si>
    <t>Консервативный</t>
  </si>
  <si>
    <t>MAU (активных пользователей)</t>
  </si>
  <si>
    <t>Оборот ставок (₽/год)</t>
  </si>
  <si>
    <t>Выручка, ARR (₽)</t>
  </si>
  <si>
    <t>Затраты итого (₽)</t>
  </si>
  <si>
    <t>Операц. результат (₽)</t>
  </si>
  <si>
    <t>Выход на прибыль (месяц)</t>
  </si>
  <si>
    <t>Retention W1 (%)</t>
  </si>
  <si>
    <t>CAC (₽)</t>
  </si>
  <si>
    <t>LTV/CAC</t>
  </si>
  <si>
    <t>Примечание: Консервативный сценарий требует дофинансирования ~500 000 ₽ к 10-му месяцу</t>
  </si>
  <si>
    <t>PredictRU — Оценка компании (2 метода)</t>
  </si>
  <si>
    <t>МЕТОД 1: МУЛЬТИПЛИКАТОРЫ (Comparables)</t>
  </si>
  <si>
    <t>ARR прогнозный (год 1), ₽</t>
  </si>
  <si>
    <t>Из финансового плана</t>
  </si>
  <si>
    <t>Мультипликатор — нижняя граница</t>
  </si>
  <si>
    <t>Аналоги Fintech/Betting</t>
  </si>
  <si>
    <t>Мультипликатор — верхняя граница</t>
  </si>
  <si>
    <t>Оценка — нижняя граница (₽)</t>
  </si>
  <si>
    <t>Формула</t>
  </si>
  <si>
    <t>Оценка — верхняя граница (₽)</t>
  </si>
  <si>
    <t>МЕТОД 2: ВЕНЧУРНЫЙ МЕТОД (упрощённый)</t>
  </si>
  <si>
    <t>Прогнозный Exit Value через 3 года (₽)</t>
  </si>
  <si>
    <t>Поглощение банком/букмекером</t>
  </si>
  <si>
    <t>Требуемая доходность инвестора (×)</t>
  </si>
  <si>
    <t>Стандарт венч. рынка</t>
  </si>
  <si>
    <t>Post-money оценка сегодня (₽)</t>
  </si>
  <si>
    <t>Exit ÷ Multiple</t>
  </si>
  <si>
    <t>ИТОГОВЫЙ ДИАПАЗОН ОЦЕНКИ</t>
  </si>
  <si>
    <t>Нижняя граница (₽)</t>
  </si>
  <si>
    <t>Венчурный метод</t>
  </si>
  <si>
    <t>Верхняя граница (₽)</t>
  </si>
  <si>
    <t>Мультипликаторы</t>
  </si>
  <si>
    <t>Средняя точка (₽)</t>
  </si>
  <si>
    <t>(Нижняя + Верхняя) ÷ 2</t>
  </si>
  <si>
    <t>PredictRU — Анализ чувствительности</t>
  </si>
  <si>
    <t>Фактор</t>
  </si>
  <si>
    <t>Стресс</t>
  </si>
  <si>
    <t>Сверх-стресс</t>
  </si>
  <si>
    <t>Влияние на окупаемость</t>
  </si>
  <si>
    <t>Конверсия в ставку</t>
  </si>
  <si>
    <t>10%</t>
  </si>
  <si>
    <t>5%</t>
  </si>
  <si>
    <t>3%</t>
  </si>
  <si>
    <t>Срок окупаемости +6 / +12 мес.</t>
  </si>
  <si>
    <t>Средний чек (ARPU)</t>
  </si>
  <si>
    <t>100%</t>
  </si>
  <si>
    <t>−50%</t>
  </si>
  <si>
    <t>−70%</t>
  </si>
  <si>
    <t>Убыток на горизонте 12 мес.</t>
  </si>
  <si>
    <t>CAC (₽/лид из Telegram)</t>
  </si>
  <si>
    <t>≤ 30</t>
  </si>
  <si>
    <t>30–60</t>
  </si>
  <si>
    <t>&gt; 60</t>
  </si>
  <si>
    <t>Капитал исчерпан к мес. 2 / 1</t>
  </si>
  <si>
    <t>Retention W1</t>
  </si>
  <si>
    <t>≥ 20%</t>
  </si>
  <si>
    <t>Viral loop не запускается</t>
  </si>
  <si>
    <t>Viral Coefficient</t>
  </si>
  <si>
    <t>≥ 0.2</t>
  </si>
  <si>
    <t>0.1</t>
  </si>
  <si>
    <t>0.05</t>
  </si>
  <si>
    <t>Органический рост падает в 2–4×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</si>
</sst>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#,##0&quot; ₽&quot;"/>
    <numFmt numFmtId="166" formatCode="#,##0.0&quot; ₽&quot;"/>
    <numFmt numFmtId="167" formatCode="0.0\x"/>
    <numFmt numFmtId="168" formatCode="0\x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445566"/>
      <name val="Arial"/>
      <charset val="1"/>
    </font>
    <font>
      <b/>
      <sz val="11"/>
      <color rgb="FF00C9A7"/>
      <name val="Arial"/>
      <charset val="1"/>
    </font>
    <font>
      <b/>
      <sz val="10"/>
      <color rgb="FF00C9A7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007040"/>
      <name val="Arial"/>
      <charset val="1"/>
    </font>
    <font>
      <b/>
      <sz val="10"/>
      <color rgb="FFFF0000"/>
      <name val="Arial"/>
      <charset val="1"/>
    </font>
    <font>
      <b/>
      <sz val="12"/>
      <color rgb="FF00C9A7"/>
      <name val="Arial"/>
      <charset val="1"/>
    </font>
    <font>
      <i/>
      <sz val="10"/>
      <color rgb="FF445566"/>
      <name val="Arial"/>
      <charset val="1"/>
    </font>
    <font>
      <b/>
      <sz val="12"/>
      <color rgb="FF000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1A3050"/>
      </patternFill>
    </fill>
    <fill>
      <patternFill patternType="solid">
        <fgColor rgb="FFE2ECF0"/>
        <bgColor rgb="FFF4F7F9"/>
      </patternFill>
    </fill>
    <fill>
      <patternFill patternType="solid">
        <fgColor rgb="FF1A3050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4F7F9"/>
        <bgColor rgb="FFFFFFFF"/>
      </patternFill>
    </fill>
    <fill>
      <patternFill patternType="solid">
        <fgColor rgb="FFFFFFFF"/>
        <bgColor rgb="FFF4F7F9"/>
      </patternFill>
    </fill>
    <fill>
      <patternFill patternType="solid">
        <fgColor rgb="FFCCFFEE"/>
        <bgColor rgb="FFCCFFCC"/>
      </patternFill>
    </fill>
    <fill>
      <patternFill patternType="solid">
        <fgColor rgb="FFFFCCCC"/>
        <bgColor rgb="FFE2ECF0"/>
      </patternFill>
    </fill>
    <fill>
      <patternFill patternType="solid">
        <fgColor rgb="FF005C45"/>
        <bgColor rgb="FF007040"/>
      </patternFill>
    </fill>
    <fill>
      <patternFill patternType="solid">
        <fgColor rgb="FF5C0000"/>
        <bgColor rgb="FF800000"/>
      </patternFill>
    </fill>
  </fills>
  <borders count="2">
    <border>
      <left/>
      <right/>
      <top/>
      <bottom/>
      <diagonal/>
    </border>
    <border>
      <left style="thin">
        <color rgb="FFBBCCDD"/>
      </left>
      <right style="thin">
        <color rgb="FFBBCCDD"/>
      </right>
      <top style="thin">
        <color rgb="FFBBCCDD"/>
      </top>
      <bottom style="thin">
        <color rgb="FFBBCCDD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1" fillId="2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3" fontId="6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3" fontId="7" fillId="7" borderId="1" xfId="0" applyNumberFormat="1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165" fontId="5" fillId="8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165" fontId="5" fillId="9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center" vertical="center"/>
    </xf>
    <xf numFmtId="166" fontId="7" fillId="7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67" fontId="5" fillId="6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3" fontId="6" fillId="7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65" fontId="9" fillId="8" borderId="1" xfId="0" applyNumberFormat="1" applyFont="1" applyFill="1" applyBorder="1" applyAlignment="1">
      <alignment horizontal="center" vertical="center"/>
    </xf>
    <xf numFmtId="165" fontId="9" fillId="7" borderId="1" xfId="0" applyNumberFormat="1" applyFont="1" applyFill="1" applyBorder="1" applyAlignment="1">
      <alignment horizontal="center" vertical="center"/>
    </xf>
    <xf numFmtId="165" fontId="10" fillId="9" borderId="1" xfId="0" applyNumberFormat="1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167" fontId="6" fillId="7" borderId="1" xfId="0" applyNumberFormat="1" applyFont="1" applyFill="1" applyBorder="1" applyAlignment="1">
      <alignment horizontal="center" vertical="center"/>
    </xf>
    <xf numFmtId="167" fontId="6" fillId="5" borderId="1" xfId="0" applyNumberFormat="1" applyFont="1" applyFill="1" applyBorder="1" applyAlignment="1">
      <alignment horizontal="center" vertical="center"/>
    </xf>
    <xf numFmtId="168" fontId="6" fillId="5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165" fontId="13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C0000"/>
      <rgbColor rgb="FF007040"/>
      <rgbColor rgb="FF000080"/>
      <rgbColor rgb="FF808000"/>
      <rgbColor rgb="FF800080"/>
      <rgbColor rgb="FF005C45"/>
      <rgbColor rgb="FFBBCCDD"/>
      <rgbColor rgb="FF808080"/>
      <rgbColor rgb="FF9999FF"/>
      <rgbColor rgb="FF993366"/>
      <rgbColor rgb="FFF4F7F9"/>
      <rgbColor rgb="FFCCFF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9A7"/>
      <rgbColor rgb="FFE2ECF0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445566"/>
      <rgbColor rgb="FF969696"/>
      <rgbColor rgb="FF1A3050"/>
      <rgbColor rgb="FF339966"/>
      <rgbColor rgb="FF0D1B2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32" style="6" customWidth="1"/>
    <col min="2" max="4" width="18" style="6" customWidth="1"/>
  </cols>
  <sheetData>
    <row r="1" spans="1:4" ht="30" customHeight="1" x14ac:dyDescent="0.3">
      <c r="A1" s="5" t="s">
        <v>0</v>
      </c>
      <c r="B1" s="5"/>
      <c r="C1" s="5"/>
      <c r="D1" s="5"/>
    </row>
    <row r="2" spans="1:4" ht="19.5" customHeight="1" x14ac:dyDescent="0.3">
      <c r="A2" s="4" t="s">
        <v>1</v>
      </c>
      <c r="B2" s="4"/>
      <c r="C2" s="4"/>
      <c r="D2" s="4"/>
    </row>
    <row r="3" spans="1:4" ht="21.75" customHeight="1" x14ac:dyDescent="0.3">
      <c r="A3" s="7" t="s">
        <v>2</v>
      </c>
      <c r="B3" s="8" t="s">
        <v>3</v>
      </c>
      <c r="C3" s="8" t="s">
        <v>4</v>
      </c>
      <c r="D3" s="8" t="s">
        <v>5</v>
      </c>
    </row>
    <row r="4" spans="1:4" ht="21.75" customHeight="1" x14ac:dyDescent="0.3">
      <c r="A4" s="3" t="s">
        <v>6</v>
      </c>
      <c r="B4" s="3"/>
      <c r="C4" s="3"/>
      <c r="D4" s="3"/>
    </row>
    <row r="5" spans="1:4" ht="21.75" customHeight="1" x14ac:dyDescent="0.3">
      <c r="A5" s="9" t="s">
        <v>7</v>
      </c>
      <c r="B5" s="10">
        <v>5000</v>
      </c>
      <c r="C5" s="10">
        <v>15000</v>
      </c>
      <c r="D5" s="10">
        <v>60000</v>
      </c>
    </row>
    <row r="6" spans="1:4" ht="21.75" customHeight="1" x14ac:dyDescent="0.3">
      <c r="A6" s="11" t="s">
        <v>8</v>
      </c>
      <c r="B6" s="12">
        <v>0.1</v>
      </c>
      <c r="C6" s="12">
        <v>0.12</v>
      </c>
      <c r="D6" s="12">
        <v>0.15</v>
      </c>
    </row>
    <row r="7" spans="1:4" ht="21.75" customHeight="1" x14ac:dyDescent="0.3">
      <c r="A7" s="13" t="s">
        <v>9</v>
      </c>
      <c r="B7" s="14">
        <f>B5*B6</f>
        <v>500</v>
      </c>
      <c r="C7" s="15">
        <f>C5*C6</f>
        <v>1800</v>
      </c>
      <c r="D7" s="14">
        <f>D5*D6</f>
        <v>9000</v>
      </c>
    </row>
    <row r="8" spans="1:4" ht="21.75" customHeight="1" x14ac:dyDescent="0.3">
      <c r="A8" s="11" t="s">
        <v>10</v>
      </c>
      <c r="B8" s="12">
        <v>0.6</v>
      </c>
      <c r="C8" s="12">
        <v>0.6</v>
      </c>
      <c r="D8" s="12">
        <v>0.6</v>
      </c>
    </row>
    <row r="9" spans="1:4" ht="21.75" customHeight="1" x14ac:dyDescent="0.3">
      <c r="A9" s="9" t="s">
        <v>11</v>
      </c>
      <c r="B9" s="16">
        <f>ROUND(B7*B8,0)</f>
        <v>300</v>
      </c>
      <c r="C9" s="17">
        <f>ROUND(C7*C8,0)</f>
        <v>1080</v>
      </c>
      <c r="D9" s="16">
        <f>ROUND(D7*D8,0)</f>
        <v>5400</v>
      </c>
    </row>
    <row r="10" spans="1:4" ht="21.75" customHeight="1" x14ac:dyDescent="0.3">
      <c r="A10" s="3" t="s">
        <v>12</v>
      </c>
      <c r="B10" s="3"/>
      <c r="C10" s="3"/>
      <c r="D10" s="3"/>
    </row>
    <row r="11" spans="1:4" ht="21.75" customHeight="1" x14ac:dyDescent="0.3">
      <c r="A11" s="11" t="s">
        <v>13</v>
      </c>
      <c r="B11" s="18">
        <v>1667</v>
      </c>
      <c r="C11" s="18">
        <v>1000</v>
      </c>
      <c r="D11" s="18">
        <v>1786</v>
      </c>
    </row>
    <row r="12" spans="1:4" ht="21.75" customHeight="1" x14ac:dyDescent="0.3">
      <c r="A12" s="13" t="s">
        <v>14</v>
      </c>
      <c r="B12" s="19">
        <f>B9*B11</f>
        <v>500100</v>
      </c>
      <c r="C12" s="20">
        <f>C9*C11</f>
        <v>1080000</v>
      </c>
      <c r="D12" s="19">
        <f>D9*D11</f>
        <v>9644400</v>
      </c>
    </row>
    <row r="13" spans="1:4" ht="21.75" customHeight="1" x14ac:dyDescent="0.3">
      <c r="A13" s="11" t="s">
        <v>15</v>
      </c>
      <c r="B13" s="21">
        <v>0.02</v>
      </c>
      <c r="C13" s="21">
        <v>0.02</v>
      </c>
      <c r="D13" s="21">
        <v>0.02</v>
      </c>
    </row>
    <row r="14" spans="1:4" ht="21.75" customHeight="1" x14ac:dyDescent="0.3">
      <c r="A14" s="22" t="s">
        <v>16</v>
      </c>
      <c r="B14" s="23">
        <f>B12*B13</f>
        <v>10002</v>
      </c>
      <c r="C14" s="23">
        <f>C12*C13</f>
        <v>21600</v>
      </c>
      <c r="D14" s="23">
        <f>D12*D13</f>
        <v>192888</v>
      </c>
    </row>
    <row r="15" spans="1:4" ht="21.75" customHeight="1" x14ac:dyDescent="0.3">
      <c r="A15" s="3" t="s">
        <v>17</v>
      </c>
      <c r="B15" s="3"/>
      <c r="C15" s="3"/>
      <c r="D15" s="3"/>
    </row>
    <row r="16" spans="1:4" ht="21.75" customHeight="1" x14ac:dyDescent="0.3">
      <c r="A16" s="13" t="s">
        <v>18</v>
      </c>
      <c r="B16" s="18">
        <v>50000</v>
      </c>
      <c r="C16" s="18">
        <v>120000</v>
      </c>
      <c r="D16" s="18">
        <v>320000</v>
      </c>
    </row>
    <row r="17" spans="1:4" ht="21.75" customHeight="1" x14ac:dyDescent="0.3">
      <c r="A17" s="11" t="s">
        <v>19</v>
      </c>
      <c r="B17" s="18">
        <v>10000</v>
      </c>
      <c r="C17" s="18">
        <v>30000</v>
      </c>
      <c r="D17" s="18">
        <v>80000</v>
      </c>
    </row>
    <row r="18" spans="1:4" ht="21.75" customHeight="1" x14ac:dyDescent="0.3">
      <c r="A18" s="24" t="s">
        <v>20</v>
      </c>
      <c r="B18" s="25">
        <f>B16+B17</f>
        <v>60000</v>
      </c>
      <c r="C18" s="25">
        <f>C16+C17</f>
        <v>150000</v>
      </c>
      <c r="D18" s="25">
        <f>D16+D17</f>
        <v>400000</v>
      </c>
    </row>
    <row r="19" spans="1:4" ht="21.75" customHeight="1" x14ac:dyDescent="0.3">
      <c r="A19" s="3" t="s">
        <v>21</v>
      </c>
      <c r="B19" s="3"/>
      <c r="C19" s="3"/>
      <c r="D19" s="3"/>
    </row>
    <row r="20" spans="1:4" ht="21.75" customHeight="1" x14ac:dyDescent="0.3">
      <c r="A20" s="9" t="s">
        <v>22</v>
      </c>
      <c r="B20" s="26">
        <f>B14-B18</f>
        <v>-49998</v>
      </c>
      <c r="C20" s="27">
        <f>C14-C18</f>
        <v>-128400</v>
      </c>
      <c r="D20" s="26">
        <f>D14-D18</f>
        <v>-207112</v>
      </c>
    </row>
    <row r="21" spans="1:4" ht="21.75" customHeight="1" x14ac:dyDescent="0.3">
      <c r="A21" s="11" t="s">
        <v>23</v>
      </c>
      <c r="B21" s="20">
        <f>B20</f>
        <v>-49998</v>
      </c>
      <c r="C21" s="20">
        <f>B21+C20</f>
        <v>-178398</v>
      </c>
      <c r="D21" s="20">
        <f>C21+D20</f>
        <v>-385510</v>
      </c>
    </row>
    <row r="22" spans="1:4" ht="21.75" customHeight="1" x14ac:dyDescent="0.3">
      <c r="A22" s="9" t="s">
        <v>24</v>
      </c>
      <c r="B22" s="18">
        <v>100000</v>
      </c>
      <c r="C22" s="26">
        <f>B22+B21</f>
        <v>50002</v>
      </c>
      <c r="D22" s="26">
        <f>C22+C21</f>
        <v>-128396</v>
      </c>
    </row>
    <row r="23" spans="1:4" ht="21.75" customHeight="1" x14ac:dyDescent="0.3">
      <c r="A23" s="3" t="s">
        <v>25</v>
      </c>
      <c r="B23" s="3"/>
      <c r="C23" s="3"/>
      <c r="D23" s="3"/>
    </row>
    <row r="24" spans="1:4" ht="21.75" customHeight="1" x14ac:dyDescent="0.3">
      <c r="A24" s="11" t="s">
        <v>26</v>
      </c>
      <c r="B24" s="28">
        <f>IFERROR(B16/B7,0)</f>
        <v>100</v>
      </c>
      <c r="C24" s="28">
        <f>IFERROR(C16/C7,0)</f>
        <v>66.666666666666671</v>
      </c>
      <c r="D24" s="28">
        <f>IFERROR(D16/D7,0)</f>
        <v>35.555555555555557</v>
      </c>
    </row>
    <row r="25" spans="1:4" ht="21.75" customHeight="1" x14ac:dyDescent="0.3">
      <c r="A25" s="13" t="s">
        <v>27</v>
      </c>
      <c r="B25" s="29">
        <f>IFERROR(B14/B9,0)</f>
        <v>33.340000000000003</v>
      </c>
      <c r="C25" s="28">
        <f>IFERROR(C14/C9,0)</f>
        <v>20</v>
      </c>
      <c r="D25" s="29">
        <f>IFERROR(D14/D9,0)</f>
        <v>35.72</v>
      </c>
    </row>
    <row r="26" spans="1:4" ht="21.75" customHeight="1" x14ac:dyDescent="0.3">
      <c r="A26" s="30" t="s">
        <v>28</v>
      </c>
      <c r="B26" s="31">
        <f>IFERROR((B25*12)/B24,0)</f>
        <v>4.0008000000000008</v>
      </c>
      <c r="C26" s="31">
        <f>IFERROR((C25*12)/C24,0)</f>
        <v>3.5999999999999996</v>
      </c>
      <c r="D26" s="31">
        <f>IFERROR((D25*12)/D24,0)</f>
        <v>12.055499999999999</v>
      </c>
    </row>
  </sheetData>
  <mergeCells count="7">
    <mergeCell ref="A19:D19"/>
    <mergeCell ref="A23:D23"/>
    <mergeCell ref="A1:D1"/>
    <mergeCell ref="A2:D2"/>
    <mergeCell ref="A4:D4"/>
    <mergeCell ref="A10:D10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6640625" defaultRowHeight="14.4" x14ac:dyDescent="0.3"/>
  <cols>
    <col min="1" max="1" width="32" style="6" customWidth="1"/>
    <col min="2" max="4" width="18" style="6" customWidth="1"/>
  </cols>
  <sheetData>
    <row r="1" spans="1:4" ht="30" customHeight="1" x14ac:dyDescent="0.3">
      <c r="A1" s="5" t="s">
        <v>29</v>
      </c>
      <c r="B1" s="5"/>
      <c r="C1" s="5"/>
      <c r="D1" s="5"/>
    </row>
    <row r="2" spans="1:4" ht="15" customHeight="1" x14ac:dyDescent="0.3">
      <c r="A2" s="7" t="s">
        <v>2</v>
      </c>
      <c r="B2" s="32" t="s">
        <v>30</v>
      </c>
      <c r="C2" s="8" t="s">
        <v>31</v>
      </c>
      <c r="D2" s="33" t="s">
        <v>32</v>
      </c>
    </row>
    <row r="3" spans="1:4" ht="21.75" customHeight="1" x14ac:dyDescent="0.3">
      <c r="A3" s="34" t="s">
        <v>33</v>
      </c>
      <c r="B3" s="35">
        <v>20000</v>
      </c>
      <c r="C3" s="35">
        <v>15000</v>
      </c>
      <c r="D3" s="35">
        <v>8000</v>
      </c>
    </row>
    <row r="4" spans="1:4" ht="21.75" customHeight="1" x14ac:dyDescent="0.3">
      <c r="A4" s="11" t="s">
        <v>34</v>
      </c>
      <c r="B4" s="36">
        <v>80000000</v>
      </c>
      <c r="C4" s="36">
        <v>60000000</v>
      </c>
      <c r="D4" s="36">
        <v>30000000</v>
      </c>
    </row>
    <row r="5" spans="1:4" ht="21.75" customHeight="1" x14ac:dyDescent="0.3">
      <c r="A5" s="34" t="s">
        <v>35</v>
      </c>
      <c r="B5" s="37">
        <v>1600000</v>
      </c>
      <c r="C5" s="37">
        <v>1200000</v>
      </c>
      <c r="D5" s="37">
        <v>600000</v>
      </c>
    </row>
    <row r="6" spans="1:4" ht="21.75" customHeight="1" x14ac:dyDescent="0.3">
      <c r="A6" s="11" t="s">
        <v>36</v>
      </c>
      <c r="B6" s="36">
        <v>800000</v>
      </c>
      <c r="C6" s="36">
        <v>960000</v>
      </c>
      <c r="D6" s="36">
        <v>1050000</v>
      </c>
    </row>
    <row r="7" spans="1:4" ht="21.75" customHeight="1" x14ac:dyDescent="0.3">
      <c r="A7" s="38" t="s">
        <v>37</v>
      </c>
      <c r="B7" s="39">
        <v>800000</v>
      </c>
      <c r="C7" s="40">
        <v>240000</v>
      </c>
      <c r="D7" s="41">
        <v>-450000</v>
      </c>
    </row>
    <row r="8" spans="1:4" ht="21.75" customHeight="1" x14ac:dyDescent="0.3">
      <c r="A8" s="11" t="s">
        <v>38</v>
      </c>
      <c r="B8" s="42">
        <v>6</v>
      </c>
      <c r="C8" s="42">
        <v>9</v>
      </c>
      <c r="D8" s="42"/>
    </row>
    <row r="9" spans="1:4" ht="21.75" customHeight="1" x14ac:dyDescent="0.3">
      <c r="A9" s="34" t="s">
        <v>39</v>
      </c>
      <c r="B9" s="21">
        <v>0.35</v>
      </c>
      <c r="C9" s="21">
        <v>0.2</v>
      </c>
      <c r="D9" s="21">
        <v>0.12</v>
      </c>
    </row>
    <row r="10" spans="1:4" ht="21.75" customHeight="1" x14ac:dyDescent="0.3">
      <c r="A10" s="11" t="s">
        <v>40</v>
      </c>
      <c r="B10" s="36">
        <v>15</v>
      </c>
      <c r="C10" s="36">
        <v>28</v>
      </c>
      <c r="D10" s="36">
        <v>45</v>
      </c>
    </row>
    <row r="11" spans="1:4" ht="21.75" customHeight="1" x14ac:dyDescent="0.3">
      <c r="A11" s="38" t="s">
        <v>41</v>
      </c>
      <c r="B11" s="43">
        <v>5</v>
      </c>
      <c r="C11" s="43">
        <v>2.8</v>
      </c>
      <c r="D11" s="43">
        <v>1.2</v>
      </c>
    </row>
    <row r="12" spans="1:4" ht="19.5" customHeight="1" x14ac:dyDescent="0.3">
      <c r="A12" s="4" t="s">
        <v>42</v>
      </c>
      <c r="B12" s="4"/>
      <c r="C12" s="4"/>
      <c r="D12" s="4"/>
    </row>
  </sheetData>
  <mergeCells count="2">
    <mergeCell ref="A1:D1"/>
    <mergeCell ref="A12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36" style="6" customWidth="1"/>
    <col min="2" max="2" width="22" style="6" customWidth="1"/>
    <col min="3" max="3" width="36" style="6" customWidth="1"/>
  </cols>
  <sheetData>
    <row r="1" spans="1:3" ht="30" customHeight="1" x14ac:dyDescent="0.3">
      <c r="A1" s="5" t="s">
        <v>43</v>
      </c>
      <c r="B1" s="5"/>
      <c r="C1" s="5"/>
    </row>
    <row r="2" spans="1:3" ht="24" customHeight="1" x14ac:dyDescent="0.3">
      <c r="A2" s="2" t="s">
        <v>44</v>
      </c>
      <c r="B2" s="2"/>
      <c r="C2" s="2"/>
    </row>
    <row r="3" spans="1:3" ht="21.75" customHeight="1" x14ac:dyDescent="0.3">
      <c r="A3" s="34" t="s">
        <v>45</v>
      </c>
      <c r="B3" s="18">
        <v>3000000</v>
      </c>
      <c r="C3" s="34" t="s">
        <v>46</v>
      </c>
    </row>
    <row r="4" spans="1:3" ht="21.75" customHeight="1" x14ac:dyDescent="0.3">
      <c r="A4" s="11" t="s">
        <v>47</v>
      </c>
      <c r="B4" s="44">
        <v>4</v>
      </c>
      <c r="C4" s="11" t="s">
        <v>48</v>
      </c>
    </row>
    <row r="5" spans="1:3" ht="21.75" customHeight="1" x14ac:dyDescent="0.3">
      <c r="A5" s="34" t="s">
        <v>49</v>
      </c>
      <c r="B5" s="44">
        <v>6</v>
      </c>
      <c r="C5" s="34" t="s">
        <v>48</v>
      </c>
    </row>
    <row r="6" spans="1:3" ht="21.75" customHeight="1" x14ac:dyDescent="0.3">
      <c r="A6" s="30" t="s">
        <v>50</v>
      </c>
      <c r="B6" s="23">
        <f>B3*B4</f>
        <v>12000000</v>
      </c>
      <c r="C6" s="11" t="s">
        <v>51</v>
      </c>
    </row>
    <row r="7" spans="1:3" ht="21.75" customHeight="1" x14ac:dyDescent="0.3">
      <c r="A7" s="38" t="s">
        <v>52</v>
      </c>
      <c r="B7" s="23">
        <f>B3*B5</f>
        <v>18000000</v>
      </c>
      <c r="C7" s="34" t="s">
        <v>51</v>
      </c>
    </row>
    <row r="9" spans="1:3" ht="24" customHeight="1" x14ac:dyDescent="0.3">
      <c r="A9" s="2" t="s">
        <v>53</v>
      </c>
      <c r="B9" s="2"/>
      <c r="C9" s="2"/>
    </row>
    <row r="10" spans="1:3" ht="21.75" customHeight="1" x14ac:dyDescent="0.3">
      <c r="A10" s="34" t="s">
        <v>54</v>
      </c>
      <c r="B10" s="18">
        <v>50000000</v>
      </c>
      <c r="C10" s="34" t="s">
        <v>55</v>
      </c>
    </row>
    <row r="11" spans="1:3" ht="21.75" customHeight="1" x14ac:dyDescent="0.3">
      <c r="A11" s="11" t="s">
        <v>56</v>
      </c>
      <c r="B11" s="45">
        <v>10</v>
      </c>
      <c r="C11" s="11" t="s">
        <v>57</v>
      </c>
    </row>
    <row r="12" spans="1:3" ht="21.75" customHeight="1" x14ac:dyDescent="0.3">
      <c r="A12" s="38" t="s">
        <v>58</v>
      </c>
      <c r="B12" s="23">
        <f>B10/B11</f>
        <v>5000000</v>
      </c>
      <c r="C12" s="46" t="s">
        <v>59</v>
      </c>
    </row>
    <row r="14" spans="1:3" ht="25.5" customHeight="1" x14ac:dyDescent="0.3">
      <c r="A14" s="1" t="s">
        <v>60</v>
      </c>
      <c r="B14" s="1"/>
      <c r="C14" s="1"/>
    </row>
    <row r="15" spans="1:3" ht="24" customHeight="1" x14ac:dyDescent="0.3">
      <c r="A15" s="22" t="s">
        <v>61</v>
      </c>
      <c r="B15" s="47">
        <f>B12</f>
        <v>5000000</v>
      </c>
      <c r="C15" s="48" t="s">
        <v>62</v>
      </c>
    </row>
    <row r="16" spans="1:3" ht="24" customHeight="1" x14ac:dyDescent="0.3">
      <c r="A16" s="22" t="s">
        <v>63</v>
      </c>
      <c r="B16" s="47">
        <f>B7</f>
        <v>18000000</v>
      </c>
      <c r="C16" s="48" t="s">
        <v>64</v>
      </c>
    </row>
    <row r="17" spans="1:3" ht="24" customHeight="1" x14ac:dyDescent="0.3">
      <c r="A17" s="22" t="s">
        <v>65</v>
      </c>
      <c r="B17" s="47">
        <f>(B15+B16)/2</f>
        <v>11500000</v>
      </c>
      <c r="C17" s="46" t="s">
        <v>66</v>
      </c>
    </row>
  </sheetData>
  <mergeCells count="4">
    <mergeCell ref="A1:C1"/>
    <mergeCell ref="A2:C2"/>
    <mergeCell ref="A9:C9"/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6640625" defaultRowHeight="14.4" x14ac:dyDescent="0.3"/>
  <cols>
    <col min="1" max="1" width="34" style="6" customWidth="1"/>
    <col min="2" max="4" width="18" style="6" customWidth="1"/>
    <col min="5" max="5" width="28" style="6" customWidth="1"/>
  </cols>
  <sheetData>
    <row r="1" spans="1:5" ht="30" customHeight="1" x14ac:dyDescent="0.3">
      <c r="A1" s="5" t="s">
        <v>67</v>
      </c>
      <c r="B1" s="5"/>
      <c r="C1" s="5"/>
      <c r="D1" s="5"/>
      <c r="E1" s="5"/>
    </row>
    <row r="2" spans="1:5" ht="21.75" customHeight="1" x14ac:dyDescent="0.3">
      <c r="A2" s="7" t="s">
        <v>68</v>
      </c>
      <c r="B2" s="8" t="s">
        <v>31</v>
      </c>
      <c r="C2" s="8" t="s">
        <v>69</v>
      </c>
      <c r="D2" s="8" t="s">
        <v>70</v>
      </c>
      <c r="E2" s="8" t="s">
        <v>71</v>
      </c>
    </row>
    <row r="3" spans="1:5" ht="21.75" customHeight="1" x14ac:dyDescent="0.3">
      <c r="A3" s="38" t="s">
        <v>72</v>
      </c>
      <c r="B3" s="49" t="s">
        <v>73</v>
      </c>
      <c r="C3" s="50" t="s">
        <v>74</v>
      </c>
      <c r="D3" s="51" t="s">
        <v>75</v>
      </c>
      <c r="E3" s="34" t="s">
        <v>76</v>
      </c>
    </row>
    <row r="4" spans="1:5" ht="21.75" customHeight="1" x14ac:dyDescent="0.3">
      <c r="A4" s="30" t="s">
        <v>77</v>
      </c>
      <c r="B4" s="49" t="s">
        <v>78</v>
      </c>
      <c r="C4" s="50" t="s">
        <v>79</v>
      </c>
      <c r="D4" s="51" t="s">
        <v>80</v>
      </c>
      <c r="E4" s="11" t="s">
        <v>81</v>
      </c>
    </row>
    <row r="5" spans="1:5" ht="21.75" customHeight="1" x14ac:dyDescent="0.3">
      <c r="A5" s="38" t="s">
        <v>82</v>
      </c>
      <c r="B5" s="49" t="s">
        <v>83</v>
      </c>
      <c r="C5" s="50" t="s">
        <v>84</v>
      </c>
      <c r="D5" s="51" t="s">
        <v>85</v>
      </c>
      <c r="E5" s="34" t="s">
        <v>86</v>
      </c>
    </row>
    <row r="6" spans="1:5" ht="21.75" customHeight="1" x14ac:dyDescent="0.3">
      <c r="A6" s="30" t="s">
        <v>87</v>
      </c>
      <c r="B6" s="49" t="s">
        <v>88</v>
      </c>
      <c r="C6" s="50" t="s">
        <v>73</v>
      </c>
      <c r="D6" s="51" t="s">
        <v>74</v>
      </c>
      <c r="E6" s="11" t="s">
        <v>89</v>
      </c>
    </row>
    <row r="7" spans="1:5" ht="21.75" customHeight="1" x14ac:dyDescent="0.3">
      <c r="A7" s="38" t="s">
        <v>90</v>
      </c>
      <c r="B7" s="49" t="s">
        <v>91</v>
      </c>
      <c r="C7" s="50" t="s">
        <v>92</v>
      </c>
      <c r="D7" s="51" t="s">
        <v>93</v>
      </c>
      <c r="E7" s="34" t="s">
        <v>94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Финансовый план</vt:lpstr>
      <vt:lpstr>3 Сценария</vt:lpstr>
      <vt:lpstr>Оценка компании</vt:lpstr>
      <vt:lpstr>Чувствительность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1</cp:lastModifiedBy>
  <cp:revision>0</cp:revision>
  <dcterms:created xsi:type="dcterms:W3CDTF">2026-05-12T11:34:32Z</dcterms:created>
  <dcterms:modified xsi:type="dcterms:W3CDTF">2026-05-12T11:41:41Z</dcterms:modified>
  <dc:language>en-US</dc:language>
</cp:coreProperties>
</file>